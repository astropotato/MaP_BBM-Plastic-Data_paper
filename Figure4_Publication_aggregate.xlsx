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nciangerish/DS 399 400/DS399-400/Macroplastic/raw-data/biblio/"/>
    </mc:Choice>
  </mc:AlternateContent>
  <xr:revisionPtr revIDLastSave="0" documentId="13_ncr:1_{2187CC39-5F88-0548-B1F0-E39DDC9536A0}" xr6:coauthVersionLast="47" xr6:coauthVersionMax="47" xr10:uidLastSave="{00000000-0000-0000-0000-000000000000}"/>
  <bookViews>
    <workbookView xWindow="2600" yWindow="2660" windowWidth="15300" windowHeight="16440" xr2:uid="{F2143135-B57A-2C45-A779-C724D6F4A696}"/>
  </bookViews>
  <sheets>
    <sheet name="Combined" sheetId="1" r:id="rId1"/>
    <sheet name="OpenAlex" sheetId="2" r:id="rId2"/>
    <sheet name="Scop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<sst xmlns="http://schemas.openxmlformats.org/spreadsheetml/2006/main" count="9" uniqueCount="8">
  <si>
    <t>Year</t>
  </si>
  <si>
    <t>OpenAlex</t>
  </si>
  <si>
    <t>Scopus</t>
  </si>
  <si>
    <t>Your query : (TITLE-ABS-KEY("marine plastic" OR "plastic pollution" OR "plastic debris" OR "plastic litter" OR "plastic garbage") AND ( LIMIT-TO ( AFFILCOUNTRY,"Philippines" ) ) )</t>
  </si>
  <si>
    <t>Number of results : 10</t>
  </si>
  <si>
    <t>YEAR</t>
  </si>
  <si>
    <t>API</t>
  </si>
  <si>
    <t>https://api.openalex.org/works?page=1&amp;filter=default.search:+%22marine+plastic%22++OR++%22plastic+pollution%22++OR++%22plastic+debris%22++OR++%22plastic+litter%22++OR++%22plastic+garbage%22,authorships.countries:countries/ph&amp;sort=relevance_score:desc&amp;per_page=10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</si>
</sst>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E764-73E8-B04A-B637-FE20B8497112}">
  <dimension ref="A1:C18"/>
  <sheetViews>
    <sheetView tabSelected="1" zoomScale="135" workbookViewId="0">
      <selection activeCell="E8" sqref="E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2009</v>
      </c>
      <c r="B2">
        <f>IFERROR(VLOOKUP(A2,OpenAlex!$A$2:$B$12,2,FALSE),0)</f>
        <v>0</v>
      </c>
      <c r="C2">
        <f>IFERROR(VLOOKUP(A2,Scopus!$A$7:$B$18,2,FALSE),0)</f>
        <v>1</v>
      </c>
    </row>
    <row r="3" spans="1:3" x14ac:dyDescent="0.2">
      <c r="A3">
        <v>2010</v>
      </c>
      <c r="B3">
        <f>IFERROR(VLOOKUP(A3,OpenAlex!$A$2:$B$12,2,FALSE),0)</f>
        <v>0</v>
      </c>
      <c r="C3">
        <f>IFERROR(VLOOKUP(A3,Scopus!$A$7:$B$18,2,FALSE),0)</f>
        <v>0</v>
      </c>
    </row>
    <row r="4" spans="1:3" x14ac:dyDescent="0.2">
      <c r="A4">
        <v>2011</v>
      </c>
      <c r="B4">
        <f>IFERROR(VLOOKUP(A4,OpenAlex!$A$2:$B$12,2,FALSE),0)</f>
        <v>3</v>
      </c>
      <c r="C4">
        <f>IFERROR(VLOOKUP(A4,Scopus!$A$7:$B$18,2,FALSE),0)</f>
        <v>2</v>
      </c>
    </row>
    <row r="5" spans="1:3" x14ac:dyDescent="0.2">
      <c r="A5">
        <v>2012</v>
      </c>
      <c r="B5">
        <f>IFERROR(VLOOKUP(A5,OpenAlex!$A$2:$B$12,2,FALSE),0)</f>
        <v>0</v>
      </c>
      <c r="C5">
        <f>IFERROR(VLOOKUP(A5,Scopus!$A$7:$B$18,2,FALSE),0)</f>
        <v>1</v>
      </c>
    </row>
    <row r="6" spans="1:3" x14ac:dyDescent="0.2">
      <c r="A6">
        <v>2013</v>
      </c>
      <c r="B6">
        <f>IFERROR(VLOOKUP(A6,OpenAlex!$A$2:$B$12,2,FALSE),0)</f>
        <v>0</v>
      </c>
      <c r="C6">
        <f>IFERROR(VLOOKUP(A6,Scopus!$A$7:$B$18,2,FALSE),0)</f>
        <v>0</v>
      </c>
    </row>
    <row r="7" spans="1:3" x14ac:dyDescent="0.2">
      <c r="A7">
        <v>2014</v>
      </c>
      <c r="B7">
        <f>IFERROR(VLOOKUP(A7,OpenAlex!$A$2:$B$12,2,FALSE),0)</f>
        <v>0</v>
      </c>
      <c r="C7">
        <f>IFERROR(VLOOKUP(A7,Scopus!$A$7:$B$18,2,FALSE),0)</f>
        <v>0</v>
      </c>
    </row>
    <row r="8" spans="1:3" x14ac:dyDescent="0.2">
      <c r="A8">
        <v>2015</v>
      </c>
      <c r="B8">
        <f>IFERROR(VLOOKUP(A8,OpenAlex!$A$2:$B$12,2,FALSE),0)</f>
        <v>2</v>
      </c>
      <c r="C8">
        <f>IFERROR(VLOOKUP(A8,Scopus!$A$7:$B$18,2,FALSE),0)</f>
        <v>0</v>
      </c>
    </row>
    <row r="9" spans="1:3" x14ac:dyDescent="0.2">
      <c r="A9">
        <v>2016</v>
      </c>
      <c r="B9">
        <f>IFERROR(VLOOKUP(A9,OpenAlex!$A$2:$B$12,2,FALSE),0)</f>
        <v>0</v>
      </c>
      <c r="C9">
        <f>IFERROR(VLOOKUP(A9,Scopus!$A$7:$B$18,2,FALSE),0)</f>
        <v>1</v>
      </c>
    </row>
    <row r="10" spans="1:3" x14ac:dyDescent="0.2">
      <c r="A10">
        <v>2017</v>
      </c>
      <c r="B10">
        <f>IFERROR(VLOOKUP(A10,OpenAlex!$A$2:$B$12,2,FALSE),0)</f>
        <v>3</v>
      </c>
      <c r="C10">
        <f>IFERROR(VLOOKUP(A10,Scopus!$A$7:$B$18,2,FALSE),0)</f>
        <v>0</v>
      </c>
    </row>
    <row r="11" spans="1:3" x14ac:dyDescent="0.2">
      <c r="A11">
        <v>2018</v>
      </c>
      <c r="B11">
        <f>IFERROR(VLOOKUP(A11,OpenAlex!$A$2:$B$12,2,FALSE),0)</f>
        <v>3</v>
      </c>
      <c r="C11">
        <f>IFERROR(VLOOKUP(A11,Scopus!$A$7:$B$18,2,FALSE),0)</f>
        <v>1</v>
      </c>
    </row>
    <row r="12" spans="1:3" x14ac:dyDescent="0.2">
      <c r="A12">
        <v>2019</v>
      </c>
      <c r="B12">
        <f>IFERROR(VLOOKUP(A12,OpenAlex!$A$2:$B$12,2,FALSE),0)</f>
        <v>8</v>
      </c>
      <c r="C12">
        <f>IFERROR(VLOOKUP(A12,Scopus!$A$7:$B$18,2,FALSE),0)</f>
        <v>4</v>
      </c>
    </row>
    <row r="13" spans="1:3" x14ac:dyDescent="0.2">
      <c r="A13">
        <v>2020</v>
      </c>
      <c r="B13">
        <f>IFERROR(VLOOKUP(A13,OpenAlex!$A$2:$B$12,2,FALSE),0)</f>
        <v>11</v>
      </c>
      <c r="C13">
        <f>IFERROR(VLOOKUP(A13,Scopus!$A$7:$B$18,2,FALSE),0)</f>
        <v>6</v>
      </c>
    </row>
    <row r="14" spans="1:3" x14ac:dyDescent="0.2">
      <c r="A14">
        <v>2021</v>
      </c>
      <c r="B14">
        <f>IFERROR(VLOOKUP(A14,OpenAlex!$A$2:$B$12,2,FALSE),0)</f>
        <v>22</v>
      </c>
      <c r="C14">
        <f>IFERROR(VLOOKUP(A14,Scopus!$A$7:$B$18,2,FALSE),0)</f>
        <v>10</v>
      </c>
    </row>
    <row r="15" spans="1:3" x14ac:dyDescent="0.2">
      <c r="A15">
        <v>2022</v>
      </c>
      <c r="B15">
        <f>IFERROR(VLOOKUP(A15,OpenAlex!$A$2:$B$12,2,FALSE),0)</f>
        <v>34</v>
      </c>
      <c r="C15">
        <f>IFERROR(VLOOKUP(A15,Scopus!$A$7:$B$18,2,FALSE),0)</f>
        <v>21</v>
      </c>
    </row>
    <row r="16" spans="1:3" x14ac:dyDescent="0.2">
      <c r="A16">
        <v>2023</v>
      </c>
      <c r="B16">
        <f>IFERROR(VLOOKUP(A16,OpenAlex!$A$2:$B$12,2,FALSE),0)</f>
        <v>58</v>
      </c>
      <c r="C16">
        <f>IFERROR(VLOOKUP(A16,Scopus!$A$7:$B$18,2,FALSE),0)</f>
        <v>30</v>
      </c>
    </row>
    <row r="17" spans="1:3" x14ac:dyDescent="0.2">
      <c r="A17">
        <v>2024</v>
      </c>
      <c r="B17">
        <f>IFERROR(VLOOKUP(A17,OpenAlex!$A$2:$B$12,2,FALSE),0)</f>
        <v>35</v>
      </c>
      <c r="C17">
        <f>IFERROR(VLOOKUP(A17,Scopus!$A$7:$B$18,2,FALSE),0)</f>
        <v>27</v>
      </c>
    </row>
    <row r="18" spans="1:3" x14ac:dyDescent="0.2">
      <c r="A18">
        <v>2025</v>
      </c>
      <c r="B18">
        <f>IFERROR(VLOOKUP(A18,OpenAlex!$A$2:$B$12,2,FALSE),0)</f>
        <v>5</v>
      </c>
      <c r="C18">
        <f>IFERROR(VLOOKUP(A18,Scopus!$A$7:$B$18,2,FALSE),0)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B8EE-5F62-254B-8EB0-00EB2203356F}">
  <dimension ref="A1:E12"/>
  <sheetViews>
    <sheetView workbookViewId="0">
      <selection activeCell="B2" sqref="B2:B15"/>
    </sheetView>
  </sheetViews>
  <sheetFormatPr baseColWidth="10" defaultRowHeight="16" x14ac:dyDescent="0.2"/>
  <sheetData>
    <row r="1" spans="1:5" x14ac:dyDescent="0.2">
      <c r="A1" t="s">
        <v>1</v>
      </c>
      <c r="D1" t="s">
        <v>6</v>
      </c>
      <c r="E1" t="s">
        <v>7</v>
      </c>
    </row>
    <row r="2" spans="1:5" x14ac:dyDescent="0.2">
      <c r="A2">
        <v>2025</v>
      </c>
      <c r="B2">
        <v>5</v>
      </c>
    </row>
    <row r="3" spans="1:5" x14ac:dyDescent="0.2">
      <c r="A3">
        <v>2024</v>
      </c>
      <c r="B3">
        <v>35</v>
      </c>
    </row>
    <row r="4" spans="1:5" x14ac:dyDescent="0.2">
      <c r="A4">
        <v>2023</v>
      </c>
      <c r="B4">
        <v>58</v>
      </c>
    </row>
    <row r="5" spans="1:5" x14ac:dyDescent="0.2">
      <c r="A5">
        <v>2022</v>
      </c>
      <c r="B5">
        <v>34</v>
      </c>
    </row>
    <row r="6" spans="1:5" x14ac:dyDescent="0.2">
      <c r="A6">
        <v>2021</v>
      </c>
      <c r="B6">
        <v>22</v>
      </c>
    </row>
    <row r="7" spans="1:5" x14ac:dyDescent="0.2">
      <c r="A7">
        <v>2020</v>
      </c>
      <c r="B7">
        <v>11</v>
      </c>
    </row>
    <row r="8" spans="1:5" x14ac:dyDescent="0.2">
      <c r="A8">
        <v>2019</v>
      </c>
      <c r="B8">
        <v>8</v>
      </c>
    </row>
    <row r="9" spans="1:5" x14ac:dyDescent="0.2">
      <c r="A9">
        <v>2018</v>
      </c>
      <c r="B9">
        <v>3</v>
      </c>
    </row>
    <row r="10" spans="1:5" x14ac:dyDescent="0.2">
      <c r="A10">
        <v>2017</v>
      </c>
      <c r="B10">
        <v>3</v>
      </c>
    </row>
    <row r="11" spans="1:5" x14ac:dyDescent="0.2">
      <c r="A11">
        <v>2015</v>
      </c>
      <c r="B11">
        <v>2</v>
      </c>
    </row>
    <row r="12" spans="1:5" x14ac:dyDescent="0.2">
      <c r="A12">
        <v>2011</v>
      </c>
      <c r="B1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6924-6C04-DE4A-A11E-035C282DDEBF}">
  <dimension ref="A1:B18"/>
  <sheetViews>
    <sheetView workbookViewId="0">
      <selection activeCell="E19" sqref="E19"/>
    </sheetView>
  </sheetViews>
  <sheetFormatPr baseColWidth="10" defaultRowHeight="16" x14ac:dyDescent="0.2"/>
  <sheetData>
    <row r="1" spans="1:2" x14ac:dyDescent="0.2">
      <c r="A1" t="s">
        <v>3</v>
      </c>
    </row>
    <row r="4" spans="1:2" x14ac:dyDescent="0.2">
      <c r="A4" t="s">
        <v>4</v>
      </c>
    </row>
    <row r="6" spans="1:2" x14ac:dyDescent="0.2">
      <c r="A6" t="s">
        <v>5</v>
      </c>
    </row>
    <row r="7" spans="1:2" x14ac:dyDescent="0.2">
      <c r="A7">
        <v>2025</v>
      </c>
      <c r="B7">
        <v>16</v>
      </c>
    </row>
    <row r="8" spans="1:2" x14ac:dyDescent="0.2">
      <c r="A8">
        <v>2024</v>
      </c>
      <c r="B8">
        <v>27</v>
      </c>
    </row>
    <row r="9" spans="1:2" x14ac:dyDescent="0.2">
      <c r="A9">
        <v>2023</v>
      </c>
      <c r="B9">
        <v>30</v>
      </c>
    </row>
    <row r="10" spans="1:2" x14ac:dyDescent="0.2">
      <c r="A10">
        <v>2022</v>
      </c>
      <c r="B10">
        <v>21</v>
      </c>
    </row>
    <row r="11" spans="1:2" x14ac:dyDescent="0.2">
      <c r="A11">
        <v>2021</v>
      </c>
      <c r="B11">
        <v>10</v>
      </c>
    </row>
    <row r="12" spans="1:2" x14ac:dyDescent="0.2">
      <c r="A12">
        <v>2020</v>
      </c>
      <c r="B12">
        <v>6</v>
      </c>
    </row>
    <row r="13" spans="1:2" x14ac:dyDescent="0.2">
      <c r="A13">
        <v>2019</v>
      </c>
      <c r="B13">
        <v>4</v>
      </c>
    </row>
    <row r="14" spans="1:2" x14ac:dyDescent="0.2">
      <c r="A14">
        <v>2018</v>
      </c>
      <c r="B14">
        <v>1</v>
      </c>
    </row>
    <row r="15" spans="1:2" x14ac:dyDescent="0.2">
      <c r="A15">
        <v>2016</v>
      </c>
      <c r="B15">
        <v>1</v>
      </c>
    </row>
    <row r="16" spans="1:2" x14ac:dyDescent="0.2">
      <c r="A16">
        <v>2012</v>
      </c>
      <c r="B16">
        <v>1</v>
      </c>
    </row>
    <row r="17" spans="1:2" x14ac:dyDescent="0.2">
      <c r="A17">
        <v>2011</v>
      </c>
      <c r="B17">
        <v>2</v>
      </c>
    </row>
    <row r="18" spans="1:2" x14ac:dyDescent="0.2">
      <c r="A18">
        <v>2009</v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OpenAlex</vt:lpstr>
      <vt:lpstr>Scopus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Erish Daranciang</dc:creator>
  <cp:lastModifiedBy>Erish Daranciang</cp:lastModifiedBy>
  <dcterms:created xsi:type="dcterms:W3CDTF">2025-07-20T21:36:38Z</dcterms:created>
  <dcterms:modified xsi:type="dcterms:W3CDTF">2025-07-20T21:47:29Z</dcterms:modified>
</cp:coreProperties>
</file>